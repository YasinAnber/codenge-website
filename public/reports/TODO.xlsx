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ysnem\Desktop\"/>
    </mc:Choice>
  </mc:AlternateContent>
  <xr:revisionPtr revIDLastSave="0" documentId="8_{E517BA8E-CBD0-4238-8F53-48F420E80430}" xr6:coauthVersionLast="47" xr6:coauthVersionMax="47" xr10:uidLastSave="{00000000-0000-0000-0000-000000000000}"/>
  <bookViews>
    <workbookView xWindow="30" yWindow="1110" windowWidth="28770" windowHeight="15090" activeTab="1" xr2:uid="{00000000-000D-0000-FFFF-FFFF00000000}"/>
  </bookViews>
  <sheets>
    <sheet name="ÖZET" sheetId="1" r:id="rId1"/>
    <sheet name="İŞ TAKİP LİSTES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2" l="1"/>
  <c r="F45" i="2"/>
  <c r="F41" i="2"/>
  <c r="F34" i="2"/>
  <c r="F26" i="2"/>
  <c r="F19" i="2"/>
  <c r="F9" i="2"/>
  <c r="F3" i="2"/>
</calcChain>
</file>

<file path=xl/sharedStrings.xml><?xml version="1.0" encoding="utf-8"?>
<sst xmlns="http://schemas.openxmlformats.org/spreadsheetml/2006/main" count="189" uniqueCount="110">
  <si>
    <t>NO</t>
  </si>
  <si>
    <t>ÖZET AÇIKLAMA</t>
  </si>
  <si>
    <t>KONU BAŞLIĞI</t>
  </si>
  <si>
    <t>HAVA ARAÇLARINDA AĞIRLIK MERKEZİ TESPİT, BİLGİLENDİRME ve DENGELEME SİSTEMİ</t>
  </si>
  <si>
    <t>Hava araçlarının tasarım süreçlerinde önemli faktörlerden birisi de ağırlık merkezi hesabıdır. Uçuş emniyeti, performansı ve yakıt verimliliği büyük ölçüde ağırlık merkezinin doğru konumda olmasına bağlıdır. Tasarım süreçlerinde bu nokta optimum olarak belirlenmektedir. Tasarım süreçlerinde belirlenen  ağırlık merkezinin dışına çıkıldığı durumlarda ciddi risklerle karşılaşılma olasılığı vardır.
Ağırlık merkezinin istenilen noktadan çıkıldığı bazı durumlar vardır. Bunları başlıca saydığımızda; kargo/yük eklenmesi, personel/yolcu taşımacılığı, yakıt miktarındaki azalma vb..
Yapılacak olan çalışmanın detayları; Yer düzleminde duracak küçük ölçekli bir hava aracının tekerleri  loadcell'ler üzerine çıkarılır. Bu loadcellerden anlık olarak ağırlık bilgisi ölçülür ve ölçülen ağırlık bilgilerinden hava arıcının X ve Y düzlemlerine göre ağırlık merkezi hesabı yaptırılır. Bu işlemi yaparken 3 tekerlekli bir hava aracı düşündüğümüzde 3 adet loadcell gerekecektir. Aynı zamanda ölçüm ve ağırlık merkezinin hesabını yapacak bir yazılımın C,C++ vb.. gibi dillerde yazılımın yazılarak arduino ile bilgisayar üzerinden grafiklerinin çıkartılması gerekecektir. Bu sayede anlık olarak hava aracının ağırlığı ve ağırlık merkezinin bilgilendirilmesi yapılmış olacaktır. Bu ekran üzerinden aynı zamanda optimum olarak belirlenen noktayı da görerek ne kadar sapma olduğu bilgisinin de verilmesi beklenecektir. Dengeleme sistemi tasarımına gelecek olursak, hava aracına yüklerin eklenmesi esnasında belirlenen optimum ağırlık merkezi noktasından saptığı gözlemlenecektir. Bu sapmayı dengelemek için karşı ağırlık getirilerek ağırlık merkezinin otomatik olarak optimum noktaya getirmeye çalışmasını sağlayacak bir sistemin tasarımı yapılacaktır. Bu dengeleme sistemini yaparken alternatif tasarımlar değerlendirilebilir; ALTERNATİF 1: uçağın boylamasına ve enlemesine hareket edebilecek bir denge ağırlığı koyularak optimum noktaya ağrılık merkezine getirmek için ihtiyaç olacak mesafe kadar öne/arkaya gitmesi için komutun otomatik olarak gelmesi ve sistemin servo motorlar ile hareket etmesi sağlanacaktır. ALTERNATİF 2: Yakıt tankı içerisindeki sıvının yer değiştirmesi ile dengelemenin sağlanması. ALTERNATİF 3: Yakıt tanklarının otomatik olarak hareket ettirilerek dengelemenin sağlanması. ALTERNATİF 4: Farklı fikirler olabilir. Daha ilerisi için yer durumundayken elde edilinen bilgi ile havadaki yakıt azalma durumuna göre de ağırlık merkezini optimum noktaya getirmeye çalışma üzerinde de çalışma sürdürülebilir.
Daha özet olacak şekilde açıklamak gerekirse; hava aracı tekerlerine gelen yükün ölçülerek ağırlık merkezi bilgisini gösterecek bir arayüz programının yazılması. Dengesizlik olması durumunda hava aracına eklenen denge ağırlığının hareket ederek ağırlık merkezini optimum noktaya getirmeyi sağlayacak sistemin tasarımı. Yapılacak işlemleri sıralayacak olursak;
1. Ağırlığın ölçülmesi,
2. Ağırlık merkezi bilgisinin verilmesi,
3. Ağırlık merkezinin riskli olduğu durumlarda güvenli alana geçmesinin sağlanması,</t>
  </si>
  <si>
    <t>No</t>
  </si>
  <si>
    <t>İş Paketi</t>
  </si>
  <si>
    <t>Termin</t>
  </si>
  <si>
    <t>Son Durum</t>
  </si>
  <si>
    <t>Konsept tasarım çalışmalarının yapılması</t>
  </si>
  <si>
    <t>Açıklama</t>
  </si>
  <si>
    <t>Yapılacak olan gösterimin senaryosunun belirlenmesi</t>
  </si>
  <si>
    <t>Gerekli olacak donanımların belirlenmesi, ürün ağacının belirlenmesi</t>
  </si>
  <si>
    <t>Çalışmaların ortak görülebileceği bir drive ortak alanı ve klasör yapısının kurulması</t>
  </si>
  <si>
    <t>Ortak çalışma alanının yedeklerinin tutulması</t>
  </si>
  <si>
    <t>Sorumlu</t>
  </si>
  <si>
    <t>Abdulkadir NAZLI</t>
  </si>
  <si>
    <t>Yasin ANBER</t>
  </si>
  <si>
    <r>
      <rPr>
        <b/>
        <sz val="11"/>
        <color theme="1"/>
        <rFont val="Calibri"/>
        <family val="2"/>
        <charset val="162"/>
        <scheme val="minor"/>
      </rPr>
      <t>13.10.2025:</t>
    </r>
    <r>
      <rPr>
        <sz val="11"/>
        <color theme="1"/>
        <rFont val="Calibri"/>
        <family val="2"/>
        <scheme val="minor"/>
      </rPr>
      <t xml:space="preserve"> Google Drive üzerinden klasör yapısı kuruldu.</t>
    </r>
  </si>
  <si>
    <r>
      <rPr>
        <b/>
        <sz val="11"/>
        <color theme="1"/>
        <rFont val="Calibri"/>
        <family val="2"/>
        <charset val="162"/>
        <scheme val="minor"/>
      </rPr>
      <t>13.10.2025:</t>
    </r>
    <r>
      <rPr>
        <sz val="11"/>
        <color theme="1"/>
        <rFont val="Calibri"/>
        <family val="2"/>
        <scheme val="minor"/>
      </rPr>
      <t xml:space="preserve"> Kişisel bilgisayara aylık olarak local backup alınacak.</t>
    </r>
  </si>
  <si>
    <t>TAMAMLANDI</t>
  </si>
  <si>
    <t>Araştırma</t>
  </si>
  <si>
    <t>BAŞLANGIÇ</t>
  </si>
  <si>
    <t>BİTİŞ</t>
  </si>
  <si>
    <t>Proje başlangıç sunumunun yapılması</t>
  </si>
  <si>
    <t>1.1</t>
  </si>
  <si>
    <t>1.2</t>
  </si>
  <si>
    <t>1.3</t>
  </si>
  <si>
    <t>1.4</t>
  </si>
  <si>
    <t>1.5</t>
  </si>
  <si>
    <t>2.1</t>
  </si>
  <si>
    <t>2.2</t>
  </si>
  <si>
    <t>2.3</t>
  </si>
  <si>
    <t>2.4</t>
  </si>
  <si>
    <t>2.5</t>
  </si>
  <si>
    <t>2.6</t>
  </si>
  <si>
    <t>2.7</t>
  </si>
  <si>
    <t>2.8</t>
  </si>
  <si>
    <t>2.9</t>
  </si>
  <si>
    <t>TAKIM</t>
  </si>
  <si>
    <t>Konsept</t>
  </si>
  <si>
    <t>Patent araştırması yapılması, patent hazırlıklarına başlanması</t>
  </si>
  <si>
    <t>Literatür (Makale ve Yayın) Araştırması, yazılmaya başlanması</t>
  </si>
  <si>
    <t>3</t>
  </si>
  <si>
    <t>3.1</t>
  </si>
  <si>
    <t>Ön Tasarım</t>
  </si>
  <si>
    <t>3D model yerleşim/CoG gösterimin yapılması</t>
  </si>
  <si>
    <t>4</t>
  </si>
  <si>
    <t>Detay Tasarım</t>
  </si>
  <si>
    <t>Patent tasarımının yapılması ve problem çözümünün gösterilmesi</t>
  </si>
  <si>
    <t>Siparişlerin verilmesi</t>
  </si>
  <si>
    <t>3.2</t>
  </si>
  <si>
    <t>3.3</t>
  </si>
  <si>
    <t>3.4</t>
  </si>
  <si>
    <t>3.5</t>
  </si>
  <si>
    <t>3.6</t>
  </si>
  <si>
    <t>4.1</t>
  </si>
  <si>
    <t>4.2</t>
  </si>
  <si>
    <t>4.3</t>
  </si>
  <si>
    <t>4.4</t>
  </si>
  <si>
    <t>4.5</t>
  </si>
  <si>
    <t>4.6</t>
  </si>
  <si>
    <t>4.7</t>
  </si>
  <si>
    <t>Üretim &amp; Test</t>
  </si>
  <si>
    <t>5</t>
  </si>
  <si>
    <t>5.1</t>
  </si>
  <si>
    <t>5.2</t>
  </si>
  <si>
    <t>5.3</t>
  </si>
  <si>
    <t>5.4</t>
  </si>
  <si>
    <t>5.5</t>
  </si>
  <si>
    <t>Test faaliyetlerinin yürütülmesi</t>
  </si>
  <si>
    <r>
      <rPr>
        <b/>
        <sz val="11"/>
        <color rgb="FFFF0000"/>
        <rFont val="Calibri"/>
        <family val="2"/>
        <charset val="162"/>
        <scheme val="minor"/>
      </rPr>
      <t>İŞ PAKETİ SONU -</t>
    </r>
    <r>
      <rPr>
        <sz val="11"/>
        <color theme="1"/>
        <rFont val="Calibri"/>
        <family val="2"/>
        <scheme val="minor"/>
      </rPr>
      <t xml:space="preserve"> Literatür taraması yapılması ve yapılan çalışmaları özetleyen sunumun hazırlanması</t>
    </r>
  </si>
  <si>
    <r>
      <rPr>
        <b/>
        <sz val="11"/>
        <color rgb="FFFF0000"/>
        <rFont val="Calibri"/>
        <family val="2"/>
        <charset val="162"/>
        <scheme val="minor"/>
      </rPr>
      <t xml:space="preserve">İŞ PAKETİ SONU - </t>
    </r>
    <r>
      <rPr>
        <sz val="11"/>
        <color theme="1"/>
        <rFont val="Calibri"/>
        <family val="2"/>
        <scheme val="minor"/>
      </rPr>
      <t>Sunumunun hazırlanarak sunulması.</t>
    </r>
  </si>
  <si>
    <t>Validasyon &amp; Verifikasyon</t>
  </si>
  <si>
    <t>Optimizasyon süreçlerinin yürütülmesi</t>
  </si>
  <si>
    <r>
      <rPr>
        <b/>
        <sz val="11"/>
        <color rgb="FF92D050"/>
        <rFont val="Calibri"/>
        <family val="2"/>
        <charset val="162"/>
        <scheme val="minor"/>
      </rPr>
      <t>BONUS -</t>
    </r>
    <r>
      <rPr>
        <sz val="11"/>
        <color theme="1"/>
        <rFont val="Calibri"/>
        <family val="2"/>
        <scheme val="minor"/>
      </rPr>
      <t xml:space="preserve"> </t>
    </r>
    <r>
      <rPr>
        <sz val="11"/>
        <color theme="1"/>
        <rFont val="Calibri"/>
        <family val="2"/>
        <charset val="162"/>
        <scheme val="minor"/>
      </rPr>
      <t>Projeye artı olarak katılacak çalışmaların yürütülmesi</t>
    </r>
  </si>
  <si>
    <t>6</t>
  </si>
  <si>
    <t>6.1</t>
  </si>
  <si>
    <t>6.2</t>
  </si>
  <si>
    <t>6.3</t>
  </si>
  <si>
    <t>Prototipi gösterime hazır hale getirmek</t>
  </si>
  <si>
    <t>Sunum çalışmalarını tamamlamak</t>
  </si>
  <si>
    <t>7</t>
  </si>
  <si>
    <t>7.1</t>
  </si>
  <si>
    <t>7.2</t>
  </si>
  <si>
    <t>7.3</t>
  </si>
  <si>
    <t>8</t>
  </si>
  <si>
    <t>Prototip</t>
  </si>
  <si>
    <t>FİNAL SUNUMU ve DEĞERLENDİRME</t>
  </si>
  <si>
    <t>Final sunumunun hazırlanması</t>
  </si>
  <si>
    <t>Patent BBF (Buluş Bildiri Formu'nun doldurulması) ve başvurunun yapılması</t>
  </si>
  <si>
    <t>Yazılım süreçlerinin tamamlanması</t>
  </si>
  <si>
    <t>Donanım tasarım süreçlerinin tamamlanması</t>
  </si>
  <si>
    <t>Mekanik parçaların montajının yapılması</t>
  </si>
  <si>
    <t>Tedarik sürecinin tamamlanması</t>
  </si>
  <si>
    <t>Yazılım entegrasyon süreçlerinin yapılması</t>
  </si>
  <si>
    <t>Görev Profili provalarının yapılması</t>
  </si>
  <si>
    <t>Yazılacak olan yazım dilinin belirlenmesi</t>
  </si>
  <si>
    <t>Belirlenen tasarıma yönelik devre şeması görselinin hazırlanması</t>
  </si>
  <si>
    <t>Tübitak 2209-B Başvurusu yapılması</t>
  </si>
  <si>
    <t>Yazılım için gerekecek koşulların gereksinimlerinin yazılması</t>
  </si>
  <si>
    <t>Donanım ürün ağacının oluşturulması</t>
  </si>
  <si>
    <t>Hava aracı boyutlarının belirlenmesi</t>
  </si>
  <si>
    <t>Yazılım süreçlerine başlanması</t>
  </si>
  <si>
    <r>
      <rPr>
        <b/>
        <sz val="11"/>
        <color theme="1"/>
        <rFont val="Calibri"/>
        <family val="2"/>
        <charset val="162"/>
        <scheme val="minor"/>
      </rPr>
      <t xml:space="preserve">22.10.2025: </t>
    </r>
    <r>
      <rPr>
        <sz val="11"/>
        <color theme="1"/>
        <rFont val="Calibri"/>
        <family val="2"/>
        <scheme val="minor"/>
      </rPr>
      <t>Sunum gerçekleştirildi.</t>
    </r>
  </si>
  <si>
    <r>
      <rPr>
        <b/>
        <sz val="11"/>
        <color theme="1"/>
        <rFont val="Calibri"/>
        <family val="2"/>
        <charset val="162"/>
        <scheme val="minor"/>
      </rPr>
      <t>14.10.2025:</t>
    </r>
    <r>
      <rPr>
        <sz val="11"/>
        <color theme="1"/>
        <rFont val="Calibri"/>
        <family val="2"/>
        <scheme val="minor"/>
      </rPr>
      <t xml:space="preserve"> Senaryo paylaşıldı.</t>
    </r>
  </si>
  <si>
    <r>
      <rPr>
        <b/>
        <sz val="11"/>
        <color theme="1"/>
        <rFont val="Calibri"/>
        <family val="2"/>
        <charset val="162"/>
        <scheme val="minor"/>
      </rPr>
      <t>08.10.2025:</t>
    </r>
    <r>
      <rPr>
        <sz val="11"/>
        <color theme="1"/>
        <rFont val="Calibri"/>
        <family val="2"/>
        <scheme val="minor"/>
      </rPr>
      <t xml:space="preserve"> Toplantı gerçekleştirildi.</t>
    </r>
  </si>
  <si>
    <r>
      <rPr>
        <sz val="11"/>
        <color theme="1"/>
        <rFont val="Calibri"/>
        <family val="2"/>
        <charset val="162"/>
        <scheme val="minor"/>
      </rPr>
      <t>DEVAM</t>
    </r>
    <r>
      <rPr>
        <sz val="11"/>
        <color rgb="FF9C5700"/>
        <rFont val="Calibri"/>
        <family val="2"/>
        <charset val="162"/>
        <scheme val="minor"/>
      </rPr>
      <t xml:space="preserve"> </t>
    </r>
    <r>
      <rPr>
        <sz val="11"/>
        <color theme="1"/>
        <rFont val="Calibri"/>
        <family val="2"/>
        <charset val="162"/>
        <scheme val="minor"/>
      </rPr>
      <t>EDİYOR</t>
    </r>
  </si>
  <si>
    <t>EKİP : codenGe</t>
  </si>
  <si>
    <t>DEVAM EDİYOR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</si>
</sst>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4"/>
      <color theme="1"/>
      <name val="Calibri"/>
      <family val="2"/>
      <charset val="162"/>
      <scheme val="minor"/>
    </font>
    <font>
      <b/>
      <sz val="11"/>
      <color rgb="FFFF0000"/>
      <name val="Calibri"/>
      <family val="2"/>
      <charset val="162"/>
      <scheme val="minor"/>
    </font>
    <font>
      <b/>
      <sz val="11"/>
      <color rgb="FF92D050"/>
      <name val="Calibri"/>
      <family val="2"/>
      <charset val="162"/>
      <scheme val="minor"/>
    </font>
    <font>
      <b/>
      <sz val="16"/>
      <color theme="1"/>
      <name val="Calibri"/>
      <family val="2"/>
      <charset val="162"/>
      <scheme val="minor"/>
    </font>
    <font>
      <sz val="11"/>
      <color rgb="FF006100"/>
      <name val="Calibri"/>
      <family val="2"/>
      <charset val="162"/>
      <scheme val="minor"/>
    </font>
    <font>
      <sz val="11"/>
      <color rgb="FF9C5700"/>
      <name val="Calibri"/>
      <family val="2"/>
      <charset val="162"/>
      <scheme val="minor"/>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5"/>
        <bgColor indexed="64"/>
      </patternFill>
    </fill>
    <fill>
      <patternFill patternType="solid">
        <fgColor rgb="FFFF0000"/>
        <bgColor indexed="64"/>
      </patternFill>
    </fill>
    <fill>
      <patternFill patternType="solid">
        <fgColor rgb="FFC6EFCE"/>
      </patternFill>
    </fill>
    <fill>
      <patternFill patternType="solid">
        <fgColor rgb="FFFFEB9C"/>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ck">
        <color theme="1"/>
      </right>
      <top/>
      <bottom/>
      <diagonal/>
    </border>
    <border>
      <left style="thin">
        <color indexed="64"/>
      </left>
      <right style="thick">
        <color theme="1"/>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ck">
        <color theme="1"/>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0" fillId="6" borderId="0" applyNumberFormat="0" applyBorder="0" applyAlignment="0" applyProtection="0"/>
    <xf numFmtId="0" fontId="11" fillId="7" borderId="0" applyNumberFormat="0" applyBorder="0" applyAlignment="0" applyProtection="0"/>
  </cellStyleXfs>
  <cellXfs count="54">
    <xf numFmtId="0" fontId="0" fillId="0" borderId="0" xfId="0"/>
    <xf numFmtId="0" fontId="0" fillId="0" borderId="1" xfId="0" applyBorder="1" applyAlignment="1">
      <alignment vertical="center" wrapText="1"/>
    </xf>
    <xf numFmtId="0" fontId="5" fillId="0" borderId="1" xfId="0" applyFont="1" applyBorder="1" applyAlignment="1">
      <alignment wrapText="1"/>
    </xf>
    <xf numFmtId="0" fontId="0" fillId="0" borderId="0" xfId="0" applyAlignment="1">
      <alignment wrapText="1"/>
    </xf>
    <xf numFmtId="0" fontId="5"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5" fillId="0" borderId="1" xfId="0" applyFont="1" applyBorder="1" applyAlignment="1">
      <alignment vertical="center" wrapText="1"/>
    </xf>
    <xf numFmtId="0" fontId="0" fillId="0" borderId="0" xfId="0" applyAlignment="1">
      <alignment vertical="center" wrapText="1"/>
    </xf>
    <xf numFmtId="0" fontId="0" fillId="0" borderId="1" xfId="0" applyBorder="1" applyAlignment="1">
      <alignment vertical="top" wrapText="1"/>
    </xf>
    <xf numFmtId="14"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6" fillId="3" borderId="1" xfId="0" applyFont="1" applyFill="1" applyBorder="1" applyAlignment="1">
      <alignment horizontal="center" vertical="center" wrapText="1"/>
    </xf>
    <xf numFmtId="14" fontId="6" fillId="3" borderId="1" xfId="0" applyNumberFormat="1" applyFont="1" applyFill="1" applyBorder="1" applyAlignment="1">
      <alignment horizontal="center"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6" fillId="3" borderId="1" xfId="0" applyFont="1" applyFill="1" applyBorder="1" applyAlignment="1">
      <alignment vertical="center" wrapText="1"/>
    </xf>
    <xf numFmtId="0" fontId="3" fillId="0" borderId="1" xfId="0" applyFont="1" applyBorder="1" applyAlignment="1">
      <alignment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vertical="center" wrapText="1"/>
    </xf>
    <xf numFmtId="14" fontId="6" fillId="3" borderId="4" xfId="0" applyNumberFormat="1"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wrapText="1"/>
    </xf>
    <xf numFmtId="49" fontId="0" fillId="0" borderId="4" xfId="0" applyNumberFormat="1"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center" vertical="center"/>
    </xf>
    <xf numFmtId="0" fontId="0" fillId="0" borderId="11" xfId="0" applyBorder="1" applyAlignment="1">
      <alignment horizontal="left"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left" vertical="center" wrapText="1"/>
    </xf>
    <xf numFmtId="49" fontId="0" fillId="0" borderId="14" xfId="0" applyNumberFormat="1" applyBorder="1" applyAlignment="1">
      <alignment horizontal="center" vertical="center"/>
    </xf>
    <xf numFmtId="0" fontId="0" fillId="0" borderId="15" xfId="0" applyBorder="1" applyAlignment="1">
      <alignment horizontal="left" vertical="center" wrapText="1"/>
    </xf>
    <xf numFmtId="0" fontId="3" fillId="0" borderId="15" xfId="0" applyFont="1" applyBorder="1" applyAlignment="1">
      <alignment horizontal="left" vertical="center" wrapText="1"/>
    </xf>
    <xf numFmtId="0" fontId="4" fillId="0" borderId="15" xfId="0" applyFont="1" applyBorder="1" applyAlignment="1">
      <alignment horizontal="lef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left"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vertical="center" wrapText="1"/>
    </xf>
    <xf numFmtId="14" fontId="6" fillId="5" borderId="9" xfId="0" applyNumberFormat="1" applyFont="1" applyFill="1" applyBorder="1" applyAlignment="1">
      <alignment horizontal="center" vertical="center"/>
    </xf>
    <xf numFmtId="0" fontId="6" fillId="5" borderId="9" xfId="0" applyFont="1" applyFill="1" applyBorder="1" applyAlignment="1">
      <alignment horizontal="center" vertical="center" wrapText="1"/>
    </xf>
    <xf numFmtId="14" fontId="6" fillId="5" borderId="9" xfId="0" applyNumberFormat="1" applyFont="1" applyFill="1" applyBorder="1" applyAlignment="1">
      <alignment horizontal="center" vertical="center" wrapText="1"/>
    </xf>
    <xf numFmtId="0" fontId="6" fillId="5" borderId="10" xfId="0" applyFont="1" applyFill="1" applyBorder="1" applyAlignment="1">
      <alignment horizontal="left" vertical="center" wrapText="1"/>
    </xf>
    <xf numFmtId="0" fontId="2" fillId="0" borderId="15" xfId="0" applyFont="1" applyBorder="1" applyAlignment="1">
      <alignment horizontal="left" vertical="center" wrapText="1"/>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9" fillId="2" borderId="6"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0" fontId="11" fillId="7" borderId="1" xfId="2" applyBorder="1" applyAlignment="1">
      <alignment horizontal="center" vertical="center"/>
    </xf>
    <xf numFmtId="0" fontId="10" fillId="6" borderId="1" xfId="1" applyBorder="1" applyAlignment="1">
      <alignment horizontal="center" vertical="center"/>
    </xf>
    <xf numFmtId="0" fontId="10" fillId="6" borderId="4" xfId="1" applyBorder="1" applyAlignment="1">
      <alignment horizontal="center" vertical="center"/>
    </xf>
    <xf numFmtId="0" fontId="1" fillId="7" borderId="1" xfId="2" applyFont="1" applyBorder="1" applyAlignment="1">
      <alignment horizontal="center" vertical="center"/>
    </xf>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C2"/>
  <sheetViews>
    <sheetView zoomScale="115" zoomScaleNormal="115" workbookViewId="0">
      <selection activeCell="B2" sqref="B2"/>
    </sheetView>
  </sheetViews>
  <sheetFormatPr defaultRowHeight="15" x14ac:dyDescent="0.25"/>
  <cols>
    <col min="1" max="1" width="3.85546875" style="6" bestFit="1" customWidth="1"/>
    <col min="2" max="2" width="38.7109375" style="8" customWidth="1"/>
    <col min="3" max="3" width="147.42578125" style="3" customWidth="1"/>
  </cols>
  <sheetData>
    <row r="1" spans="1:3" x14ac:dyDescent="0.25">
      <c r="A1" s="4" t="s">
        <v>0</v>
      </c>
      <c r="B1" s="7" t="s">
        <v>2</v>
      </c>
      <c r="C1" s="2" t="s">
        <v>1</v>
      </c>
    </row>
    <row r="2" spans="1:3" ht="360" x14ac:dyDescent="0.25">
      <c r="A2" s="5">
        <v>1</v>
      </c>
      <c r="B2" s="1" t="s">
        <v>3</v>
      </c>
      <c r="C2" s="9" t="s">
        <v>4</v>
      </c>
    </row>
  </sheetData>
  <pageMargins left="0.7" right="0.7" top="0.75" bottom="0.75" header="0.3" footer="0.3"/>
  <pageSetup paperSize="9" orientation="portrait" horizontalDpi="300" verticalDpi="300" r:id="rId1"/>
  <headerFooter>
    <oddHeader>&amp;L&amp;"Calibri,Regular"&amp;11&amp;U&amp;K000000TASNİF DIŞI</oddHeader>
    <oddFooter>&amp;L&amp;"Calibri,Regular"&amp;11&amp;U&amp;K000000TASNİF DIŞI</oddFooter>
    <evenHeader>&amp;L&amp;"Calibri,Regular"&amp;11&amp;U&amp;K000000TASNİF DIŞI</evenHeader>
    <evenFooter>&amp;L&amp;"Calibri,Regular"&amp;11&amp;U&amp;K000000TASNİF DIŞI</evenFooter>
    <firstHeader>&amp;L&amp;"Calibri,Regular"&amp;11&amp;U&amp;K000000TASNİF DIŞI</firstHeader>
    <firstFooter>&amp;L&amp;"Calibri,Regular"&amp;11&amp;U&amp;K000000TASNİF DIŞI</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EE9EB-2325-4E8F-8BF6-5ACBC86B0604}">
  <sheetPr>
    <pageSetUpPr autoPageBreaks="0"/>
  </sheetPr>
  <dimension ref="A1:H54"/>
  <sheetViews>
    <sheetView tabSelected="1" zoomScale="87" zoomScaleNormal="85" workbookViewId="0">
      <pane xSplit="1" ySplit="2" topLeftCell="B3" activePane="bottomRight" state="frozen"/>
      <selection pane="topRight" activeCell="B1" sqref="B1"/>
      <selection pane="bottomLeft" activeCell="A3" sqref="A3"/>
      <selection pane="bottomRight" activeCell="F20" sqref="F20"/>
    </sheetView>
  </sheetViews>
  <sheetFormatPr defaultRowHeight="15" outlineLevelRow="1" x14ac:dyDescent="0.25"/>
  <cols>
    <col min="1" max="1" width="4.85546875" style="6" bestFit="1" customWidth="1"/>
    <col min="2" max="2" width="60.7109375" style="8" customWidth="1"/>
    <col min="3" max="3" width="16" style="6" bestFit="1" customWidth="1"/>
    <col min="4" max="4" width="14.5703125" style="6" customWidth="1"/>
    <col min="5" max="5" width="16.42578125" style="6" customWidth="1"/>
    <col min="6" max="6" width="14.28515625" style="6" bestFit="1" customWidth="1"/>
    <col min="7" max="7" width="19" style="6" customWidth="1"/>
    <col min="8" max="8" width="50.7109375" style="15" customWidth="1"/>
  </cols>
  <sheetData>
    <row r="1" spans="1:8" ht="18.75" x14ac:dyDescent="0.25">
      <c r="A1" s="46" t="s">
        <v>5</v>
      </c>
      <c r="B1" s="44" t="s">
        <v>6</v>
      </c>
      <c r="C1" s="48" t="s">
        <v>22</v>
      </c>
      <c r="D1" s="48" t="s">
        <v>23</v>
      </c>
      <c r="E1" s="42" t="s">
        <v>108</v>
      </c>
      <c r="F1" s="42"/>
      <c r="G1" s="42"/>
      <c r="H1" s="43"/>
    </row>
    <row r="2" spans="1:8" ht="19.5" thickBot="1" x14ac:dyDescent="0.3">
      <c r="A2" s="47"/>
      <c r="B2" s="45"/>
      <c r="C2" s="49"/>
      <c r="D2" s="49"/>
      <c r="E2" s="21" t="s">
        <v>15</v>
      </c>
      <c r="F2" s="21" t="s">
        <v>7</v>
      </c>
      <c r="G2" s="21" t="s">
        <v>8</v>
      </c>
      <c r="H2" s="22" t="s">
        <v>10</v>
      </c>
    </row>
    <row r="3" spans="1:8" ht="18.75" x14ac:dyDescent="0.25">
      <c r="A3" s="27">
        <v>1</v>
      </c>
      <c r="B3" s="19" t="s">
        <v>21</v>
      </c>
      <c r="C3" s="20">
        <v>45938</v>
      </c>
      <c r="D3" s="20">
        <v>45961</v>
      </c>
      <c r="E3" s="18" t="s">
        <v>39</v>
      </c>
      <c r="F3" s="20">
        <f>D3</f>
        <v>45961</v>
      </c>
      <c r="G3" s="52" t="s">
        <v>20</v>
      </c>
      <c r="H3" s="28"/>
    </row>
    <row r="4" spans="1:8" outlineLevel="1" x14ac:dyDescent="0.25">
      <c r="A4" s="29" t="s">
        <v>25</v>
      </c>
      <c r="B4" s="1" t="s">
        <v>24</v>
      </c>
      <c r="C4" s="10">
        <v>45938</v>
      </c>
      <c r="D4" s="10">
        <v>45961</v>
      </c>
      <c r="E4" s="5" t="s">
        <v>16</v>
      </c>
      <c r="F4" s="10">
        <v>45938</v>
      </c>
      <c r="G4" s="51" t="s">
        <v>20</v>
      </c>
      <c r="H4" s="41" t="s">
        <v>106</v>
      </c>
    </row>
    <row r="5" spans="1:8" ht="30" outlineLevel="1" x14ac:dyDescent="0.25">
      <c r="A5" s="29" t="s">
        <v>26</v>
      </c>
      <c r="B5" s="1" t="s">
        <v>13</v>
      </c>
      <c r="C5" s="10">
        <v>45938</v>
      </c>
      <c r="D5" s="10">
        <v>45961</v>
      </c>
      <c r="E5" s="5" t="s">
        <v>17</v>
      </c>
      <c r="F5" s="10">
        <v>45947</v>
      </c>
      <c r="G5" s="51" t="s">
        <v>20</v>
      </c>
      <c r="H5" s="31" t="s">
        <v>18</v>
      </c>
    </row>
    <row r="6" spans="1:8" ht="30" outlineLevel="1" x14ac:dyDescent="0.25">
      <c r="A6" s="29" t="s">
        <v>27</v>
      </c>
      <c r="B6" s="1" t="s">
        <v>14</v>
      </c>
      <c r="C6" s="10">
        <v>45938</v>
      </c>
      <c r="D6" s="10">
        <v>45961</v>
      </c>
      <c r="E6" s="5" t="s">
        <v>17</v>
      </c>
      <c r="F6" s="10">
        <v>45947</v>
      </c>
      <c r="G6" s="51" t="s">
        <v>20</v>
      </c>
      <c r="H6" s="32" t="s">
        <v>19</v>
      </c>
    </row>
    <row r="7" spans="1:8" outlineLevel="1" x14ac:dyDescent="0.25">
      <c r="A7" s="29" t="s">
        <v>28</v>
      </c>
      <c r="B7" s="1" t="s">
        <v>11</v>
      </c>
      <c r="C7" s="10">
        <v>45938</v>
      </c>
      <c r="D7" s="10">
        <v>45961</v>
      </c>
      <c r="E7" s="5" t="s">
        <v>16</v>
      </c>
      <c r="F7" s="10">
        <v>45947</v>
      </c>
      <c r="G7" s="51" t="s">
        <v>20</v>
      </c>
      <c r="H7" s="31" t="s">
        <v>105</v>
      </c>
    </row>
    <row r="8" spans="1:8" ht="30" outlineLevel="1" x14ac:dyDescent="0.25">
      <c r="A8" s="29" t="s">
        <v>29</v>
      </c>
      <c r="B8" s="17" t="s">
        <v>71</v>
      </c>
      <c r="C8" s="10">
        <v>45938</v>
      </c>
      <c r="D8" s="10">
        <v>45961</v>
      </c>
      <c r="E8" s="5" t="s">
        <v>39</v>
      </c>
      <c r="F8" s="10">
        <v>45952</v>
      </c>
      <c r="G8" s="51" t="s">
        <v>20</v>
      </c>
      <c r="H8" s="31" t="s">
        <v>104</v>
      </c>
    </row>
    <row r="9" spans="1:8" ht="18.75" x14ac:dyDescent="0.25">
      <c r="A9" s="33">
        <v>2</v>
      </c>
      <c r="B9" s="16" t="s">
        <v>40</v>
      </c>
      <c r="C9" s="13">
        <v>45962</v>
      </c>
      <c r="D9" s="13">
        <v>45976</v>
      </c>
      <c r="E9" s="18" t="s">
        <v>39</v>
      </c>
      <c r="F9" s="13">
        <f>D9</f>
        <v>45976</v>
      </c>
      <c r="G9" s="12"/>
      <c r="H9" s="34"/>
    </row>
    <row r="10" spans="1:8" outlineLevel="1" x14ac:dyDescent="0.25">
      <c r="A10" s="29" t="s">
        <v>30</v>
      </c>
      <c r="B10" s="1" t="s">
        <v>42</v>
      </c>
      <c r="C10" s="10">
        <v>45962</v>
      </c>
      <c r="D10" s="5"/>
      <c r="E10" s="5" t="s">
        <v>39</v>
      </c>
      <c r="F10" s="10"/>
      <c r="G10" s="50" t="s">
        <v>107</v>
      </c>
      <c r="H10" s="30"/>
    </row>
    <row r="11" spans="1:8" outlineLevel="1" x14ac:dyDescent="0.25">
      <c r="A11" s="29" t="s">
        <v>31</v>
      </c>
      <c r="B11" s="8" t="s">
        <v>41</v>
      </c>
      <c r="C11" s="10">
        <v>45962</v>
      </c>
      <c r="D11" s="10"/>
      <c r="E11" s="5" t="s">
        <v>39</v>
      </c>
      <c r="F11" s="5"/>
      <c r="G11" s="53" t="s">
        <v>109</v>
      </c>
      <c r="H11" s="30"/>
    </row>
    <row r="12" spans="1:8" outlineLevel="1" x14ac:dyDescent="0.25">
      <c r="A12" s="29" t="s">
        <v>32</v>
      </c>
      <c r="B12" s="1" t="s">
        <v>99</v>
      </c>
      <c r="C12" s="10">
        <v>45962</v>
      </c>
      <c r="D12" s="10">
        <v>45976</v>
      </c>
      <c r="E12" s="5" t="s">
        <v>39</v>
      </c>
      <c r="F12" s="5"/>
      <c r="G12" s="51" t="s">
        <v>20</v>
      </c>
      <c r="H12" s="30"/>
    </row>
    <row r="13" spans="1:8" outlineLevel="1" x14ac:dyDescent="0.25">
      <c r="A13" s="29" t="s">
        <v>33</v>
      </c>
      <c r="B13" s="1" t="s">
        <v>9</v>
      </c>
      <c r="C13" s="10">
        <v>45962</v>
      </c>
      <c r="D13" s="10">
        <v>45976</v>
      </c>
      <c r="E13" s="5" t="s">
        <v>39</v>
      </c>
      <c r="F13" s="5"/>
      <c r="G13" s="51" t="s">
        <v>20</v>
      </c>
      <c r="H13" s="30"/>
    </row>
    <row r="14" spans="1:8" outlineLevel="1" x14ac:dyDescent="0.25">
      <c r="A14" s="29" t="s">
        <v>34</v>
      </c>
      <c r="B14" s="1" t="s">
        <v>98</v>
      </c>
      <c r="C14" s="10">
        <v>45962</v>
      </c>
      <c r="D14" s="10">
        <v>45976</v>
      </c>
      <c r="E14" s="5" t="s">
        <v>39</v>
      </c>
      <c r="F14" s="5"/>
      <c r="G14" s="51" t="s">
        <v>20</v>
      </c>
      <c r="H14" s="30"/>
    </row>
    <row r="15" spans="1:8" outlineLevel="1" x14ac:dyDescent="0.25">
      <c r="A15" s="29" t="s">
        <v>35</v>
      </c>
      <c r="B15" s="1" t="s">
        <v>97</v>
      </c>
      <c r="C15" s="10">
        <v>45962</v>
      </c>
      <c r="D15" s="10">
        <v>45976</v>
      </c>
      <c r="E15" s="5" t="s">
        <v>39</v>
      </c>
      <c r="F15" s="5"/>
      <c r="G15" s="51" t="s">
        <v>20</v>
      </c>
      <c r="H15" s="30"/>
    </row>
    <row r="16" spans="1:8" outlineLevel="1" x14ac:dyDescent="0.25">
      <c r="A16" s="29" t="s">
        <v>36</v>
      </c>
      <c r="B16" s="1" t="s">
        <v>100</v>
      </c>
      <c r="C16" s="10">
        <v>45962</v>
      </c>
      <c r="D16" s="10">
        <v>45976</v>
      </c>
      <c r="E16" s="5" t="s">
        <v>17</v>
      </c>
      <c r="F16" s="5"/>
      <c r="G16" s="51" t="s">
        <v>20</v>
      </c>
      <c r="H16" s="30"/>
    </row>
    <row r="17" spans="1:8" ht="30" outlineLevel="1" x14ac:dyDescent="0.25">
      <c r="A17" s="29" t="s">
        <v>37</v>
      </c>
      <c r="B17" s="1" t="s">
        <v>12</v>
      </c>
      <c r="C17" s="10">
        <v>45962</v>
      </c>
      <c r="D17" s="10">
        <v>45976</v>
      </c>
      <c r="E17" s="5" t="s">
        <v>39</v>
      </c>
      <c r="F17" s="5"/>
      <c r="G17" s="51" t="s">
        <v>20</v>
      </c>
      <c r="H17" s="30"/>
    </row>
    <row r="18" spans="1:8" outlineLevel="1" x14ac:dyDescent="0.25">
      <c r="A18" s="29" t="s">
        <v>38</v>
      </c>
      <c r="B18" s="17" t="s">
        <v>72</v>
      </c>
      <c r="C18" s="10">
        <v>45962</v>
      </c>
      <c r="D18" s="10">
        <v>45976</v>
      </c>
      <c r="E18" s="5" t="s">
        <v>39</v>
      </c>
      <c r="F18" s="5"/>
      <c r="G18" s="51" t="s">
        <v>20</v>
      </c>
      <c r="H18" s="30"/>
    </row>
    <row r="19" spans="1:8" ht="18.75" x14ac:dyDescent="0.25">
      <c r="A19" s="33" t="s">
        <v>43</v>
      </c>
      <c r="B19" s="16" t="s">
        <v>45</v>
      </c>
      <c r="C19" s="13">
        <v>45976</v>
      </c>
      <c r="D19" s="13">
        <v>45991</v>
      </c>
      <c r="E19" s="18" t="s">
        <v>39</v>
      </c>
      <c r="F19" s="13">
        <f>D19</f>
        <v>45991</v>
      </c>
      <c r="G19" s="12"/>
      <c r="H19" s="34"/>
    </row>
    <row r="20" spans="1:8" outlineLevel="1" x14ac:dyDescent="0.25">
      <c r="A20" s="29" t="s">
        <v>44</v>
      </c>
      <c r="B20" s="1" t="s">
        <v>103</v>
      </c>
      <c r="C20" s="10">
        <v>45976</v>
      </c>
      <c r="D20" s="10">
        <v>45991</v>
      </c>
      <c r="E20" s="5" t="s">
        <v>39</v>
      </c>
      <c r="F20" s="5"/>
      <c r="G20" s="51" t="s">
        <v>20</v>
      </c>
      <c r="H20" s="30"/>
    </row>
    <row r="21" spans="1:8" outlineLevel="1" x14ac:dyDescent="0.25">
      <c r="A21" s="29" t="s">
        <v>51</v>
      </c>
      <c r="B21" s="1" t="s">
        <v>102</v>
      </c>
      <c r="C21" s="10">
        <v>45976</v>
      </c>
      <c r="D21" s="10">
        <v>45991</v>
      </c>
      <c r="E21" s="5" t="s">
        <v>39</v>
      </c>
      <c r="F21" s="5"/>
      <c r="G21" s="51" t="s">
        <v>20</v>
      </c>
      <c r="H21" s="30"/>
    </row>
    <row r="22" spans="1:8" outlineLevel="1" x14ac:dyDescent="0.25">
      <c r="A22" s="29" t="s">
        <v>52</v>
      </c>
      <c r="B22" s="1" t="s">
        <v>101</v>
      </c>
      <c r="C22" s="10">
        <v>45976</v>
      </c>
      <c r="D22" s="10">
        <v>45991</v>
      </c>
      <c r="E22" s="5" t="s">
        <v>39</v>
      </c>
      <c r="F22" s="5"/>
      <c r="G22" s="51" t="s">
        <v>20</v>
      </c>
      <c r="H22" s="30"/>
    </row>
    <row r="23" spans="1:8" outlineLevel="1" x14ac:dyDescent="0.25">
      <c r="A23" s="29" t="s">
        <v>53</v>
      </c>
      <c r="B23" s="1" t="s">
        <v>46</v>
      </c>
      <c r="C23" s="10">
        <v>45976</v>
      </c>
      <c r="D23" s="5"/>
      <c r="E23" s="5" t="s">
        <v>39</v>
      </c>
      <c r="F23" s="5"/>
      <c r="G23" s="53" t="s">
        <v>109</v>
      </c>
      <c r="H23" s="30"/>
    </row>
    <row r="24" spans="1:8" outlineLevel="1" x14ac:dyDescent="0.25">
      <c r="A24" s="29" t="s">
        <v>54</v>
      </c>
      <c r="B24" s="1" t="s">
        <v>49</v>
      </c>
      <c r="C24" s="10">
        <v>45976</v>
      </c>
      <c r="D24" s="5"/>
      <c r="E24" s="5" t="s">
        <v>39</v>
      </c>
      <c r="F24" s="5"/>
      <c r="G24" s="53" t="s">
        <v>109</v>
      </c>
      <c r="H24" s="30"/>
    </row>
    <row r="25" spans="1:8" outlineLevel="1" x14ac:dyDescent="0.25">
      <c r="A25" s="29" t="s">
        <v>55</v>
      </c>
      <c r="B25" s="17" t="s">
        <v>72</v>
      </c>
      <c r="C25" s="10">
        <v>45976</v>
      </c>
      <c r="D25" s="5"/>
      <c r="E25" s="5" t="s">
        <v>39</v>
      </c>
      <c r="F25" s="5"/>
      <c r="G25" s="53" t="s">
        <v>109</v>
      </c>
      <c r="H25" s="30"/>
    </row>
    <row r="26" spans="1:8" ht="18.75" x14ac:dyDescent="0.25">
      <c r="A26" s="33" t="s">
        <v>47</v>
      </c>
      <c r="B26" s="16" t="s">
        <v>48</v>
      </c>
      <c r="C26" s="13">
        <v>45992</v>
      </c>
      <c r="D26" s="13">
        <v>46022</v>
      </c>
      <c r="E26" s="18" t="s">
        <v>39</v>
      </c>
      <c r="F26" s="13">
        <f>D26</f>
        <v>46022</v>
      </c>
      <c r="G26" s="12"/>
      <c r="H26" s="34"/>
    </row>
    <row r="27" spans="1:8" outlineLevel="1" x14ac:dyDescent="0.25">
      <c r="A27" s="29" t="s">
        <v>56</v>
      </c>
      <c r="B27" s="1" t="s">
        <v>49</v>
      </c>
      <c r="C27" s="10">
        <v>45992</v>
      </c>
      <c r="D27" s="5"/>
      <c r="E27" s="5" t="s">
        <v>39</v>
      </c>
      <c r="F27" s="5"/>
      <c r="G27" s="53" t="s">
        <v>109</v>
      </c>
      <c r="H27" s="30"/>
    </row>
    <row r="28" spans="1:8" ht="30" outlineLevel="1" x14ac:dyDescent="0.25">
      <c r="A28" s="29" t="s">
        <v>57</v>
      </c>
      <c r="B28" s="1" t="s">
        <v>90</v>
      </c>
      <c r="C28" s="10">
        <v>45992</v>
      </c>
      <c r="D28" s="5"/>
      <c r="E28" s="5" t="s">
        <v>39</v>
      </c>
      <c r="F28" s="5"/>
      <c r="G28" s="53" t="s">
        <v>109</v>
      </c>
      <c r="H28" s="30"/>
    </row>
    <row r="29" spans="1:8" outlineLevel="1" x14ac:dyDescent="0.25">
      <c r="A29" s="29" t="s">
        <v>58</v>
      </c>
      <c r="B29" s="1" t="s">
        <v>91</v>
      </c>
      <c r="C29" s="10">
        <v>45992</v>
      </c>
      <c r="D29" s="5"/>
      <c r="E29" s="5" t="s">
        <v>39</v>
      </c>
      <c r="F29" s="5"/>
      <c r="G29" s="53" t="s">
        <v>109</v>
      </c>
      <c r="H29" s="30"/>
    </row>
    <row r="30" spans="1:8" outlineLevel="1" x14ac:dyDescent="0.25">
      <c r="A30" s="29" t="s">
        <v>59</v>
      </c>
      <c r="B30" s="1" t="s">
        <v>92</v>
      </c>
      <c r="C30" s="10">
        <v>45992</v>
      </c>
      <c r="D30" s="10">
        <v>46022</v>
      </c>
      <c r="E30" s="5" t="s">
        <v>39</v>
      </c>
      <c r="F30" s="5"/>
      <c r="G30" s="51" t="s">
        <v>20</v>
      </c>
      <c r="H30" s="30"/>
    </row>
    <row r="31" spans="1:8" outlineLevel="1" x14ac:dyDescent="0.25">
      <c r="A31" s="29" t="s">
        <v>60</v>
      </c>
      <c r="B31" s="1" t="s">
        <v>50</v>
      </c>
      <c r="C31" s="10">
        <v>45992</v>
      </c>
      <c r="D31" s="5"/>
      <c r="E31" s="5" t="s">
        <v>39</v>
      </c>
      <c r="F31" s="5"/>
      <c r="G31" s="53" t="s">
        <v>109</v>
      </c>
      <c r="H31" s="30"/>
    </row>
    <row r="32" spans="1:8" outlineLevel="1" x14ac:dyDescent="0.25">
      <c r="A32" s="29" t="s">
        <v>61</v>
      </c>
      <c r="B32" s="17" t="s">
        <v>75</v>
      </c>
      <c r="C32" s="10">
        <v>45992</v>
      </c>
      <c r="D32" s="5"/>
      <c r="E32" s="5" t="s">
        <v>39</v>
      </c>
      <c r="F32" s="5"/>
      <c r="G32" s="53" t="s">
        <v>109</v>
      </c>
      <c r="H32" s="30"/>
    </row>
    <row r="33" spans="1:8" outlineLevel="1" x14ac:dyDescent="0.25">
      <c r="A33" s="29" t="s">
        <v>62</v>
      </c>
      <c r="B33" s="17" t="s">
        <v>72</v>
      </c>
      <c r="C33" s="10">
        <v>45992</v>
      </c>
      <c r="D33" s="5"/>
      <c r="E33" s="5" t="s">
        <v>39</v>
      </c>
      <c r="F33" s="5"/>
      <c r="G33" s="53" t="s">
        <v>109</v>
      </c>
      <c r="H33" s="30"/>
    </row>
    <row r="34" spans="1:8" ht="18.75" x14ac:dyDescent="0.25">
      <c r="A34" s="33" t="s">
        <v>64</v>
      </c>
      <c r="B34" s="16" t="s">
        <v>63</v>
      </c>
      <c r="C34" s="13">
        <v>46023</v>
      </c>
      <c r="D34" s="13">
        <v>46081</v>
      </c>
      <c r="E34" s="18" t="s">
        <v>39</v>
      </c>
      <c r="F34" s="13">
        <f>D34</f>
        <v>46081</v>
      </c>
      <c r="G34" s="12"/>
      <c r="H34" s="34"/>
    </row>
    <row r="35" spans="1:8" outlineLevel="1" x14ac:dyDescent="0.25">
      <c r="A35" s="29" t="s">
        <v>65</v>
      </c>
      <c r="B35" s="1" t="s">
        <v>94</v>
      </c>
      <c r="C35" s="5"/>
      <c r="D35" s="5"/>
      <c r="E35" s="5" t="s">
        <v>39</v>
      </c>
      <c r="F35" s="5"/>
      <c r="G35" s="5"/>
      <c r="H35" s="30"/>
    </row>
    <row r="36" spans="1:8" outlineLevel="1" x14ac:dyDescent="0.25">
      <c r="A36" s="29" t="s">
        <v>66</v>
      </c>
      <c r="B36" s="1" t="s">
        <v>93</v>
      </c>
      <c r="C36" s="5"/>
      <c r="D36" s="5"/>
      <c r="E36" s="5" t="s">
        <v>39</v>
      </c>
      <c r="F36" s="5"/>
      <c r="G36" s="5"/>
      <c r="H36" s="30"/>
    </row>
    <row r="37" spans="1:8" outlineLevel="1" x14ac:dyDescent="0.25">
      <c r="A37" s="29" t="s">
        <v>67</v>
      </c>
      <c r="B37" s="1" t="s">
        <v>95</v>
      </c>
      <c r="C37" s="5"/>
      <c r="D37" s="5"/>
      <c r="E37" s="5" t="s">
        <v>39</v>
      </c>
      <c r="F37" s="5"/>
      <c r="G37"/>
      <c r="H37" s="30"/>
    </row>
    <row r="38" spans="1:8" outlineLevel="1" x14ac:dyDescent="0.25">
      <c r="A38" s="29" t="s">
        <v>68</v>
      </c>
      <c r="B38" s="1" t="s">
        <v>70</v>
      </c>
      <c r="C38" s="5"/>
      <c r="D38" s="5"/>
      <c r="E38" s="5" t="s">
        <v>39</v>
      </c>
      <c r="F38" s="5"/>
      <c r="G38" s="5"/>
      <c r="H38" s="30"/>
    </row>
    <row r="39" spans="1:8" outlineLevel="1" x14ac:dyDescent="0.25">
      <c r="A39" s="29" t="s">
        <v>69</v>
      </c>
      <c r="B39" s="17" t="s">
        <v>75</v>
      </c>
      <c r="C39" s="5"/>
      <c r="D39" s="5"/>
      <c r="E39" s="5" t="s">
        <v>39</v>
      </c>
      <c r="F39" s="5"/>
      <c r="G39" s="5"/>
      <c r="H39" s="30"/>
    </row>
    <row r="40" spans="1:8" outlineLevel="1" x14ac:dyDescent="0.25">
      <c r="A40" s="29" t="s">
        <v>69</v>
      </c>
      <c r="B40" s="17" t="s">
        <v>72</v>
      </c>
      <c r="C40" s="5"/>
      <c r="D40" s="5"/>
      <c r="E40" s="5" t="s">
        <v>39</v>
      </c>
      <c r="F40" s="5"/>
      <c r="G40" s="5"/>
      <c r="H40" s="30"/>
    </row>
    <row r="41" spans="1:8" ht="18.75" x14ac:dyDescent="0.25">
      <c r="A41" s="33" t="s">
        <v>76</v>
      </c>
      <c r="B41" s="16" t="s">
        <v>73</v>
      </c>
      <c r="C41" s="13">
        <v>46082</v>
      </c>
      <c r="D41" s="13">
        <v>46112</v>
      </c>
      <c r="E41" s="18" t="s">
        <v>39</v>
      </c>
      <c r="F41" s="13">
        <f>D41</f>
        <v>46112</v>
      </c>
      <c r="G41" s="12"/>
      <c r="H41" s="34"/>
    </row>
    <row r="42" spans="1:8" outlineLevel="1" x14ac:dyDescent="0.25">
      <c r="A42" s="29" t="s">
        <v>77</v>
      </c>
      <c r="B42" s="1" t="s">
        <v>96</v>
      </c>
      <c r="C42" s="5"/>
      <c r="D42" s="5"/>
      <c r="E42" s="5" t="s">
        <v>39</v>
      </c>
      <c r="F42" s="5"/>
      <c r="G42" s="5"/>
      <c r="H42" s="30"/>
    </row>
    <row r="43" spans="1:8" outlineLevel="1" x14ac:dyDescent="0.25">
      <c r="A43" s="29" t="s">
        <v>78</v>
      </c>
      <c r="B43" s="1" t="s">
        <v>74</v>
      </c>
      <c r="C43" s="5"/>
      <c r="D43" s="5"/>
      <c r="E43" s="5" t="s">
        <v>39</v>
      </c>
      <c r="F43" s="5"/>
      <c r="G43" s="5"/>
      <c r="H43" s="30"/>
    </row>
    <row r="44" spans="1:8" outlineLevel="1" x14ac:dyDescent="0.25">
      <c r="A44" s="29" t="s">
        <v>79</v>
      </c>
      <c r="B44" s="17" t="s">
        <v>72</v>
      </c>
      <c r="C44" s="5"/>
      <c r="D44" s="5"/>
      <c r="E44" s="5" t="s">
        <v>39</v>
      </c>
      <c r="F44" s="5"/>
      <c r="G44" s="5"/>
      <c r="H44" s="30"/>
    </row>
    <row r="45" spans="1:8" ht="18.75" x14ac:dyDescent="0.25">
      <c r="A45" s="33" t="s">
        <v>82</v>
      </c>
      <c r="B45" s="16" t="s">
        <v>87</v>
      </c>
      <c r="C45" s="13">
        <v>46113</v>
      </c>
      <c r="D45" s="13">
        <v>46157</v>
      </c>
      <c r="E45" s="18" t="s">
        <v>39</v>
      </c>
      <c r="F45" s="13">
        <f>D45</f>
        <v>46157</v>
      </c>
      <c r="G45" s="12"/>
      <c r="H45" s="34"/>
    </row>
    <row r="46" spans="1:8" outlineLevel="1" x14ac:dyDescent="0.25">
      <c r="A46" s="29" t="s">
        <v>83</v>
      </c>
      <c r="B46" s="1" t="s">
        <v>80</v>
      </c>
      <c r="C46" s="5"/>
      <c r="D46" s="5"/>
      <c r="E46" s="5" t="s">
        <v>39</v>
      </c>
      <c r="F46" s="5"/>
      <c r="G46" s="5"/>
      <c r="H46" s="30"/>
    </row>
    <row r="47" spans="1:8" outlineLevel="1" x14ac:dyDescent="0.25">
      <c r="A47" s="29" t="s">
        <v>84</v>
      </c>
      <c r="B47" s="1" t="s">
        <v>81</v>
      </c>
      <c r="C47" s="5"/>
      <c r="D47" s="5"/>
      <c r="E47" s="5" t="s">
        <v>39</v>
      </c>
      <c r="F47" s="5"/>
      <c r="G47" s="5"/>
      <c r="H47" s="30"/>
    </row>
    <row r="48" spans="1:8" outlineLevel="1" x14ac:dyDescent="0.25">
      <c r="A48" s="29" t="s">
        <v>85</v>
      </c>
      <c r="B48" s="1" t="s">
        <v>89</v>
      </c>
      <c r="C48" s="5"/>
      <c r="D48" s="5"/>
      <c r="E48" s="5" t="s">
        <v>39</v>
      </c>
      <c r="F48" s="5"/>
      <c r="G48" s="5"/>
      <c r="H48" s="30"/>
    </row>
    <row r="49" spans="1:8" outlineLevel="1" x14ac:dyDescent="0.25">
      <c r="A49" s="29" t="s">
        <v>85</v>
      </c>
      <c r="B49" s="17" t="s">
        <v>72</v>
      </c>
      <c r="C49" s="5"/>
      <c r="D49" s="5"/>
      <c r="E49" s="5" t="s">
        <v>39</v>
      </c>
      <c r="F49" s="5"/>
      <c r="G49" s="5"/>
      <c r="H49" s="30"/>
    </row>
    <row r="50" spans="1:8" ht="19.5" thickBot="1" x14ac:dyDescent="0.3">
      <c r="A50" s="35" t="s">
        <v>86</v>
      </c>
      <c r="B50" s="36" t="s">
        <v>88</v>
      </c>
      <c r="C50" s="37">
        <v>46167</v>
      </c>
      <c r="D50" s="37">
        <v>46167</v>
      </c>
      <c r="E50" s="38" t="s">
        <v>39</v>
      </c>
      <c r="F50" s="39">
        <f>D50</f>
        <v>46167</v>
      </c>
      <c r="G50" s="38"/>
      <c r="H50" s="40"/>
    </row>
    <row r="51" spans="1:8" x14ac:dyDescent="0.25">
      <c r="A51" s="23"/>
      <c r="B51" s="24"/>
      <c r="C51" s="25"/>
      <c r="D51" s="25"/>
      <c r="E51" s="25"/>
      <c r="F51" s="25"/>
      <c r="G51" s="25"/>
      <c r="H51" s="26"/>
    </row>
    <row r="52" spans="1:8" x14ac:dyDescent="0.25">
      <c r="A52" s="11"/>
      <c r="B52" s="1"/>
      <c r="C52" s="5"/>
      <c r="D52" s="5"/>
      <c r="E52" s="5"/>
      <c r="F52" s="5"/>
      <c r="G52" s="5"/>
      <c r="H52" s="14"/>
    </row>
    <row r="53" spans="1:8" x14ac:dyDescent="0.25">
      <c r="A53" s="11"/>
      <c r="B53" s="1"/>
      <c r="C53" s="5"/>
      <c r="D53" s="5"/>
      <c r="E53" s="5"/>
      <c r="F53" s="5"/>
      <c r="G53" s="5"/>
      <c r="H53" s="14"/>
    </row>
    <row r="54" spans="1:8" x14ac:dyDescent="0.25">
      <c r="A54" s="11"/>
      <c r="B54" s="1"/>
      <c r="C54" s="5"/>
      <c r="D54" s="5"/>
      <c r="E54" s="5"/>
      <c r="F54" s="5"/>
      <c r="G54" s="5"/>
      <c r="H54" s="14"/>
    </row>
  </sheetData>
  <mergeCells count="5">
    <mergeCell ref="E1:H1"/>
    <mergeCell ref="B1:B2"/>
    <mergeCell ref="A1:A2"/>
    <mergeCell ref="C1:C2"/>
    <mergeCell ref="D1:D2"/>
  </mergeCells>
  <pageMargins left="0.7" right="0.7" top="0.75" bottom="0.75" header="0.3" footer="0.3"/>
  <pageSetup paperSize="9" orientation="portrait" horizontalDpi="300" verticalDpi="300" r:id="rId1"/>
  <headerFooter>
    <oddHeader>&amp;L&amp;"Calibri,Regular"&amp;11&amp;U&amp;K000000TASNİF DIŞI</oddHeader>
    <oddFooter>&amp;L&amp;"Calibri,Regular"&amp;11&amp;U&amp;K000000TASNİF DIŞI</oddFooter>
    <evenHeader>&amp;L&amp;"Calibri,Regular"&amp;11&amp;U&amp;K000000TASNİF DIŞI</evenHeader>
    <evenFooter>&amp;L&amp;"Calibri,Regular"&amp;11&amp;U&amp;K000000TASNİF DIŞI</evenFooter>
    <firstHeader>&amp;L&amp;"Calibri,Regular"&amp;11&amp;U&amp;K000000TASNİF DIŞI</firstHeader>
    <firstFooter>&amp;L&amp;"Calibri,Regular"&amp;11&amp;U&amp;K000000TASNİF DIŞI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b2a402a-7aa0-470f-8732-c65458ab17ee" origin="userSelected">
  <element uid="d4613254-63f1-4b12-8c89-ea1ca2a88f12" value=""/>
</sisl>
</file>

<file path=customXml/itemProps1.xml><?xml version="1.0" encoding="utf-8"?>
<ds:datastoreItem xmlns:ds="http://schemas.openxmlformats.org/officeDocument/2006/customXml" ds:itemID="{736EFA3D-D2E4-419D-997E-FA3DE5F6A42E}">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ÖZET</vt:lpstr>
      <vt:lpstr>İŞ TAKİP LİSTESİ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Abdulkadir Nazlı</dc:creator>
  <cp:lastModifiedBy>ysnemrefb02@gmail.com</cp:lastModifiedBy>
  <dcterms:created xsi:type="dcterms:W3CDTF">2015-06-05T18:17:20Z</dcterms:created>
  <dcterms:modified xsi:type="dcterms:W3CDTF">2026-01-11T11:14:35Z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9b0bbc9c-c2c3-4f3b-8db3-8a3cd1ac3469</vt:lpwstr>
  </property>
  <property fmtid="{D5CDD505-2E9C-101B-9397-08002B2CF9AE}" pid="3" name="bjSaver">
    <vt:lpwstr>627+/a0efOU+JC/PlTTURbIL93jvCUn1</vt:lpwstr>
  </property>
  <property fmtid="{D5CDD505-2E9C-101B-9397-08002B2CF9AE}" pid="4" name="bjDocumentLabelXML">
    <vt:lpwstr>&lt;?xml version="1.0" encoding="us-ascii"?&gt;&lt;sisl xmlns:xsd="http://www.w3.org/2001/XMLSchema" xmlns:xsi="http://www.w3.org/2001/XMLSchema-instance" sislVersion="0" policy="3b2a402a-7aa0-470f-8732-c65458ab17ee" origin="userSelected" xmlns="http://www.boldonj</vt:lpwstr>
  </property>
  <property fmtid="{D5CDD505-2E9C-101B-9397-08002B2CF9AE}" pid="5" name="bjDocumentLabelXML-0">
    <vt:lpwstr>ames.com/2008/01/sie/internal/label"&gt;&lt;element uid="d4613254-63f1-4b12-8c89-ea1ca2a88f12" value="" /&gt;&lt;/sisl&gt;</vt:lpwstr>
  </property>
  <property fmtid="{D5CDD505-2E9C-101B-9397-08002B2CF9AE}" pid="6" name="bjDocumentSecurityLabel">
    <vt:lpwstr>TASNİF DIŞI</vt:lpwstr>
  </property>
  <property fmtid="{D5CDD505-2E9C-101B-9397-08002B2CF9AE}" pid="7" name="bjClsUserRVM">
    <vt:lpwstr>[]</vt:lpwstr>
  </property>
  <property fmtid="{D5CDD505-2E9C-101B-9397-08002B2CF9AE}" pid="8" name="bjLeftHeaderLabel-first">
    <vt:lpwstr>&amp;"Calibri,Regular"&amp;11&amp;U&amp;K000000TASNİF DIŞI</vt:lpwstr>
  </property>
  <property fmtid="{D5CDD505-2E9C-101B-9397-08002B2CF9AE}" pid="9" name="bjLeftFooterLabel-first">
    <vt:lpwstr>&amp;"Calibri,Regular"&amp;11&amp;U&amp;K000000TASNİF DIŞI</vt:lpwstr>
  </property>
  <property fmtid="{D5CDD505-2E9C-101B-9397-08002B2CF9AE}" pid="10" name="bjLeftHeaderLabel-even">
    <vt:lpwstr>&amp;"Calibri,Regular"&amp;11&amp;U&amp;K000000TASNİF DIŞI</vt:lpwstr>
  </property>
  <property fmtid="{D5CDD505-2E9C-101B-9397-08002B2CF9AE}" pid="11" name="bjLeftFooterLabel-even">
    <vt:lpwstr>&amp;"Calibri,Regular"&amp;11&amp;U&amp;K000000TASNİF DIŞI</vt:lpwstr>
  </property>
  <property fmtid="{D5CDD505-2E9C-101B-9397-08002B2CF9AE}" pid="12" name="bjLeftHeaderLabel">
    <vt:lpwstr>&amp;"Calibri,Regular"&amp;11&amp;U&amp;K000000TASNİF DIŞI</vt:lpwstr>
  </property>
  <property fmtid="{D5CDD505-2E9C-101B-9397-08002B2CF9AE}" pid="13" name="bjLeftFooterLabel">
    <vt:lpwstr>&amp;"Calibri,Regular"&amp;11&amp;U&amp;K000000TASNİF DIŞI</vt:lpwstr>
  </property>
</Properties>
</file>